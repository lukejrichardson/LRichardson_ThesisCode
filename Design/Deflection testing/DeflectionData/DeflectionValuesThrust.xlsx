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Deflection testing/DeflectionData/"/>
    </mc:Choice>
  </mc:AlternateContent>
  <xr:revisionPtr revIDLastSave="41" documentId="8_{44E9C440-D8A7-F148-AECE-F893028613D6}" xr6:coauthVersionLast="47" xr6:coauthVersionMax="47" xr10:uidLastSave="{AFEF8FCD-3AB6-524C-97D0-363DC2955536}"/>
  <bookViews>
    <workbookView xWindow="3080" yWindow="2160" windowWidth="28040" windowHeight="17180" xr2:uid="{AD1AED75-8BEB-1542-B040-050748F14F20}"/>
  </bookViews>
  <sheets>
    <sheet name="DeflectionValuesThru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G10" i="1"/>
  <c r="H10" i="1"/>
  <c r="I10" i="1"/>
  <c r="J10" i="1"/>
  <c r="E10" i="1"/>
  <c r="J8" i="1"/>
  <c r="I8" i="1"/>
  <c r="J7" i="1"/>
  <c r="I7" i="1"/>
  <c r="J6" i="1"/>
  <c r="I6" i="1"/>
  <c r="J4" i="1"/>
  <c r="I4" i="1"/>
  <c r="J5" i="1"/>
  <c r="I5" i="1"/>
  <c r="J2" i="1"/>
  <c r="I2" i="1"/>
  <c r="J3" i="1"/>
  <c r="I3" i="1"/>
  <c r="H5" i="1"/>
  <c r="H4" i="1"/>
  <c r="H6" i="1"/>
  <c r="H7" i="1"/>
  <c r="H8" i="1"/>
  <c r="H3" i="1"/>
  <c r="H2" i="1"/>
</calcChain>
</file>

<file path=xl/sharedStrings.xml><?xml version="1.0" encoding="utf-8"?>
<sst xmlns="http://schemas.openxmlformats.org/spreadsheetml/2006/main" count="11" uniqueCount="11">
  <si>
    <t>M1</t>
  </si>
  <si>
    <t>M2</t>
  </si>
  <si>
    <t>M3</t>
  </si>
  <si>
    <t>M4</t>
  </si>
  <si>
    <t>PETG-mm</t>
  </si>
  <si>
    <t>PLA-mm</t>
  </si>
  <si>
    <t>PP-mm</t>
  </si>
  <si>
    <t>PETG-deg</t>
  </si>
  <si>
    <t>PLA-deg</t>
  </si>
  <si>
    <t>PP-deg</t>
  </si>
  <si>
    <t>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</si>
</sst>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155E-D336-3E4F-99E3-DEF818D48432}">
  <dimension ref="A1:M10"/>
  <sheetViews>
    <sheetView tabSelected="1" zoomScale="150" workbookViewId="0">
      <selection activeCell="M12" sqref="M1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>
        <v>30</v>
      </c>
      <c r="B2">
        <v>0</v>
      </c>
      <c r="C2">
        <v>0</v>
      </c>
      <c r="D2">
        <v>0</v>
      </c>
      <c r="E2">
        <v>1</v>
      </c>
      <c r="F2">
        <v>0.5</v>
      </c>
      <c r="G2">
        <v>1.25</v>
      </c>
      <c r="H2" s="1">
        <f>DEGREES(ATAN(E2/110))</f>
        <v>0.52085637450195854</v>
      </c>
      <c r="I2" s="1">
        <f>DEGREES(ATAN(F2/110))</f>
        <v>0.26043356781337051</v>
      </c>
      <c r="J2" s="1">
        <f>DEGREES(ATAN(G2/110))</f>
        <v>0.6510603802294862</v>
      </c>
      <c r="K2" s="1"/>
      <c r="L2" s="1"/>
      <c r="M2" s="1"/>
    </row>
    <row r="3" spans="1:13" x14ac:dyDescent="0.2">
      <c r="A3">
        <v>30</v>
      </c>
      <c r="B3">
        <v>30</v>
      </c>
      <c r="C3">
        <v>30</v>
      </c>
      <c r="D3">
        <v>30</v>
      </c>
      <c r="E3">
        <v>0.75</v>
      </c>
      <c r="F3">
        <v>0.25</v>
      </c>
      <c r="G3">
        <v>0.25</v>
      </c>
      <c r="H3" s="1">
        <f>DEGREES(ATAN(E3/110))</f>
        <v>0.39064698879561011</v>
      </c>
      <c r="I3" s="1">
        <f t="shared" ref="I3:J8" si="0">DEGREES(ATAN(F3/110))</f>
        <v>0.13021745650824984</v>
      </c>
      <c r="J3" s="1">
        <f t="shared" si="0"/>
        <v>0.13021745650824984</v>
      </c>
      <c r="K3" s="1"/>
      <c r="L3" s="1"/>
      <c r="M3" s="1"/>
    </row>
    <row r="4" spans="1:13" x14ac:dyDescent="0.2">
      <c r="A4">
        <v>60</v>
      </c>
      <c r="B4">
        <v>0</v>
      </c>
      <c r="C4">
        <v>0</v>
      </c>
      <c r="D4">
        <v>0</v>
      </c>
      <c r="E4">
        <v>3</v>
      </c>
      <c r="F4">
        <v>2.25</v>
      </c>
      <c r="G4">
        <v>4</v>
      </c>
      <c r="H4" s="1">
        <f>DEGREES(ATAN(E4/110))</f>
        <v>1.5622249168423981</v>
      </c>
      <c r="I4" s="1">
        <f>DEGREES(ATAN(F4/110))</f>
        <v>1.1717957227088482</v>
      </c>
      <c r="J4" s="1">
        <f>DEGREES(ATAN(G4/110))</f>
        <v>2.0825652797308845</v>
      </c>
      <c r="K4" s="1"/>
      <c r="L4" s="1"/>
      <c r="M4" s="1"/>
    </row>
    <row r="5" spans="1:13" x14ac:dyDescent="0.2">
      <c r="A5">
        <v>60</v>
      </c>
      <c r="B5">
        <v>60</v>
      </c>
      <c r="C5">
        <v>60</v>
      </c>
      <c r="D5">
        <v>60</v>
      </c>
      <c r="E5">
        <v>1</v>
      </c>
      <c r="F5">
        <v>0.75</v>
      </c>
      <c r="G5">
        <v>1</v>
      </c>
      <c r="H5" s="1">
        <f t="shared" ref="H5:H8" si="1">DEGREES(ATAN(E5/110))</f>
        <v>0.52085637450195854</v>
      </c>
      <c r="I5" s="1">
        <f t="shared" si="0"/>
        <v>0.39064698879561011</v>
      </c>
      <c r="J5" s="1">
        <f t="shared" si="0"/>
        <v>0.52085637450195854</v>
      </c>
      <c r="K5" s="1"/>
      <c r="L5" s="1"/>
      <c r="M5" s="1"/>
    </row>
    <row r="6" spans="1:13" x14ac:dyDescent="0.2">
      <c r="A6">
        <v>60</v>
      </c>
      <c r="B6">
        <v>60</v>
      </c>
      <c r="C6">
        <v>0</v>
      </c>
      <c r="D6">
        <v>0</v>
      </c>
      <c r="E6">
        <v>3</v>
      </c>
      <c r="F6">
        <v>2.5</v>
      </c>
      <c r="G6">
        <v>4</v>
      </c>
      <c r="H6" s="1">
        <f t="shared" si="1"/>
        <v>1.5622249168423981</v>
      </c>
      <c r="I6" s="1">
        <f t="shared" si="0"/>
        <v>1.3019526725788753</v>
      </c>
      <c r="J6" s="1">
        <f t="shared" si="0"/>
        <v>2.0825652797308845</v>
      </c>
      <c r="K6" s="1"/>
      <c r="L6" s="1"/>
      <c r="M6" s="1"/>
    </row>
    <row r="7" spans="1:13" x14ac:dyDescent="0.2">
      <c r="A7">
        <v>60</v>
      </c>
      <c r="B7">
        <v>0</v>
      </c>
      <c r="C7">
        <v>60</v>
      </c>
      <c r="D7">
        <v>0</v>
      </c>
      <c r="E7">
        <v>1.5</v>
      </c>
      <c r="F7">
        <v>1</v>
      </c>
      <c r="G7">
        <v>1.5</v>
      </c>
      <c r="H7" s="1">
        <f t="shared" si="1"/>
        <v>0.78125766160864329</v>
      </c>
      <c r="I7" s="1">
        <f t="shared" si="0"/>
        <v>0.52085637450195854</v>
      </c>
      <c r="J7" s="1">
        <f t="shared" si="0"/>
        <v>0.78125766160864329</v>
      </c>
      <c r="K7" s="1"/>
      <c r="L7" s="1"/>
      <c r="M7" s="1"/>
    </row>
    <row r="8" spans="1:13" x14ac:dyDescent="0.2">
      <c r="A8">
        <v>60</v>
      </c>
      <c r="B8">
        <v>0</v>
      </c>
      <c r="C8">
        <v>0</v>
      </c>
      <c r="D8">
        <v>60</v>
      </c>
      <c r="E8">
        <v>1.25</v>
      </c>
      <c r="F8">
        <v>1.75</v>
      </c>
      <c r="G8">
        <v>3</v>
      </c>
      <c r="H8" s="1">
        <f t="shared" si="1"/>
        <v>0.6510603802294862</v>
      </c>
      <c r="I8" s="1">
        <f t="shared" si="0"/>
        <v>0.91144687468650876</v>
      </c>
      <c r="J8" s="1">
        <f t="shared" si="0"/>
        <v>1.5622249168423981</v>
      </c>
      <c r="K8" s="1"/>
      <c r="L8" s="1"/>
      <c r="M8" s="1"/>
    </row>
    <row r="9" spans="1:13" x14ac:dyDescent="0.2">
      <c r="K9" s="1"/>
      <c r="L9" s="1"/>
      <c r="M9" s="1"/>
    </row>
    <row r="10" spans="1:13" x14ac:dyDescent="0.2">
      <c r="A10" t="s">
        <v>10</v>
      </c>
      <c r="E10" s="2">
        <f>AVERAGE(E2:E8)</f>
        <v>1.6428571428571428</v>
      </c>
      <c r="F10" s="2">
        <f t="shared" ref="F10:J10" si="2">AVERAGE(F2:F8)</f>
        <v>1.2857142857142858</v>
      </c>
      <c r="G10" s="2">
        <f t="shared" si="2"/>
        <v>2.1428571428571428</v>
      </c>
      <c r="H10" s="2">
        <f t="shared" si="2"/>
        <v>0.85558965904606477</v>
      </c>
      <c r="I10" s="2">
        <f t="shared" si="2"/>
        <v>0.66962137965620294</v>
      </c>
      <c r="J10" s="2">
        <f t="shared" si="2"/>
        <v>1.1158210498789294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DeflectionValuesThrust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Richardson</dc:creator>
  <cp:lastModifiedBy>Luke Richardson</cp:lastModifiedBy>
  <dcterms:created xsi:type="dcterms:W3CDTF">2025-11-10T08:15:16Z</dcterms:created>
  <dcterms:modified xsi:type="dcterms:W3CDTF">2025-11-11T11:33:05Z</dcterms:modified>
</cp:coreProperties>
</file>
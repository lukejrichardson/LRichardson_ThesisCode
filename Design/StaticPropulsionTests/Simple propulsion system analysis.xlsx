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rchluk003_myuct_ac_za/Documents/Mechanical Design/PropelsionTests/"/>
    </mc:Choice>
  </mc:AlternateContent>
  <xr:revisionPtr revIDLastSave="228" documentId="8_{FA6048FD-1B96-0240-984C-0594D32C4C4E}" xr6:coauthVersionLast="47" xr6:coauthVersionMax="47" xr10:uidLastSave="{4D937923-CDAA-714C-8016-7118FC9E9180}"/>
  <bookViews>
    <workbookView xWindow="3640" yWindow="4960" windowWidth="24940" windowHeight="17180" xr2:uid="{35FB121A-8201-D046-8DBA-DD2E32CB8A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" l="1"/>
  <c r="E11" i="1"/>
  <c r="F3" i="1"/>
  <c r="F4" i="1"/>
  <c r="F5" i="1"/>
  <c r="F6" i="1"/>
  <c r="F7" i="1"/>
  <c r="F8" i="1"/>
  <c r="F9" i="1"/>
  <c r="F2" i="1"/>
  <c r="F11" i="1" l="1"/>
  <c r="F12" i="1"/>
</calcChain>
</file>

<file path=xl/sharedStrings.xml><?xml version="1.0" encoding="utf-8"?>
<sst xmlns="http://schemas.openxmlformats.org/spreadsheetml/2006/main" count="33" uniqueCount="32">
  <si>
    <t>1950_PC_b2_i30</t>
  </si>
  <si>
    <t>1950_PC_b3_i30</t>
  </si>
  <si>
    <t>1950_PC_b3_i37</t>
  </si>
  <si>
    <t>2550_PC_b2_i30</t>
  </si>
  <si>
    <t>2550_PC_b3_i30</t>
  </si>
  <si>
    <t>2550_PC_b3_i37</t>
  </si>
  <si>
    <t>Max. thrust</t>
  </si>
  <si>
    <t>Max. current</t>
  </si>
  <si>
    <t>Hover throttle</t>
  </si>
  <si>
    <t>Hover current</t>
  </si>
  <si>
    <t>2550_PC_b3_i20</t>
  </si>
  <si>
    <t>T2W ratio</t>
  </si>
  <si>
    <t>Quad mass (g)</t>
  </si>
  <si>
    <t>1950 ave</t>
  </si>
  <si>
    <t>2550 ave</t>
  </si>
  <si>
    <t>1950_PC_b3_i20</t>
  </si>
  <si>
    <t>Redo for current</t>
  </si>
  <si>
    <t>redo for current</t>
  </si>
  <si>
    <t>TRQ_1950_PC_b2_i30</t>
  </si>
  <si>
    <t>TRQ_1950_PC_b3_i20</t>
  </si>
  <si>
    <t>TRQ_1950_PC_b3_i30</t>
  </si>
  <si>
    <t>TRQ_1950_PC_b3_i37</t>
  </si>
  <si>
    <t>TRQ_2550_PC_b2_i30</t>
  </si>
  <si>
    <t>TRQ_2550_PC_b3_i20</t>
  </si>
  <si>
    <t>TRQ_2550_PC_b3_i30</t>
  </si>
  <si>
    <t>TRQ_2550_PC_b3_i37</t>
  </si>
  <si>
    <t>Max. Torque</t>
  </si>
  <si>
    <t>Max. Current</t>
  </si>
  <si>
    <t>Hover Torque</t>
  </si>
  <si>
    <t>Hover Current</t>
  </si>
  <si>
    <t>x^2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</si>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</sst>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Hover current vs.</a:t>
            </a:r>
            <a:r>
              <a:rPr lang="en-GB" baseline="0"/>
              <a:t> Thrust to weight ratio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1950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950F-B045-BA58-76DED06F6734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950F-B045-BA58-76DED06F6734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B541-704D-9FCA-7891B89A3B1E}"/>
              </c:ext>
            </c:extLst>
          </c:dPt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2b3.0p</a:t>
                    </a:r>
                  </a:p>
                </c:rich>
              </c:tx>
              <c:spPr>
                <a:solidFill>
                  <a:schemeClr val="accent2">
                    <a:alpha val="2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950F-B045-BA58-76DED06F6734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3b2.0p</a:t>
                    </a:r>
                  </a:p>
                </c:rich>
              </c:tx>
              <c:spPr>
                <a:solidFill>
                  <a:schemeClr val="accent5">
                    <a:alpha val="2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950F-B045-BA58-76DED06F6734}"/>
                </c:ext>
              </c:extLst>
            </c:dLbl>
            <c:dLbl>
              <c:idx val="2"/>
              <c:layout>
                <c:manualLayout>
                  <c:x val="-9.3258758090713226E-2"/>
                  <c:y val="0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3b3.0p</a:t>
                    </a:r>
                  </a:p>
                </c:rich>
              </c:tx>
              <c:spPr>
                <a:solidFill>
                  <a:schemeClr val="accent3">
                    <a:alpha val="2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950F-B045-BA58-76DED06F6734}"/>
                </c:ext>
              </c:extLst>
            </c:dLbl>
            <c:dLbl>
              <c:idx val="3"/>
              <c:layout>
                <c:manualLayout>
                  <c:x val="-9.3258758090713226E-2"/>
                  <c:y val="0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3b3.7p</a:t>
                    </a:r>
                  </a:p>
                </c:rich>
              </c:tx>
              <c:spPr>
                <a:solidFill>
                  <a:schemeClr val="accent1">
                    <a:alpha val="2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B541-704D-9FCA-7891B89A3B1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Sheet1!$E$2:$E$5</c:f>
              <c:numCache>
                <c:formatCode>General</c:formatCode>
                <c:ptCount val="4"/>
                <c:pt idx="0">
                  <c:v>3.25</c:v>
                </c:pt>
                <c:pt idx="1">
                  <c:v>3.76</c:v>
                </c:pt>
                <c:pt idx="2">
                  <c:v>3.16</c:v>
                </c:pt>
                <c:pt idx="3">
                  <c:v>3.13</c:v>
                </c:pt>
              </c:numCache>
            </c:numRef>
          </c:xVal>
          <c:yVal>
            <c:numRef>
              <c:f>Sheet1!$F$2:$F$5</c:f>
              <c:numCache>
                <c:formatCode>0.0</c:formatCode>
                <c:ptCount val="4"/>
                <c:pt idx="0">
                  <c:v>2.8906666666666667</c:v>
                </c:pt>
                <c:pt idx="1">
                  <c:v>2.2293333333333334</c:v>
                </c:pt>
                <c:pt idx="2">
                  <c:v>3.7919999999999998</c:v>
                </c:pt>
                <c:pt idx="3">
                  <c:v>3.3333333333333335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50F-B045-BA58-76DED06F6734}"/>
            </c:ext>
          </c:extLst>
        </c:ser>
        <c:ser>
          <c:idx val="4"/>
          <c:order val="1"/>
          <c:tx>
            <c:v>2550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5"/>
                </a:solidFill>
                <a:ln w="9525">
                  <a:solidFill>
                    <a:schemeClr val="accent5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6-950F-B045-BA58-76DED06F6734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5"/>
                </a:solidFill>
                <a:ln w="9525">
                  <a:solidFill>
                    <a:schemeClr val="accent5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B541-704D-9FCA-7891B89A3B1E}"/>
              </c:ext>
            </c:extLst>
          </c:dPt>
          <c:dLbls>
            <c:dLbl>
              <c:idx val="0"/>
              <c:layout>
                <c:manualLayout>
                  <c:x val="-5.3908169306320971E-3"/>
                  <c:y val="0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2b3.0p</a:t>
                    </a:r>
                  </a:p>
                </c:rich>
              </c:tx>
              <c:spPr>
                <a:solidFill>
                  <a:schemeClr val="accent2">
                    <a:alpha val="2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950F-B045-BA58-76DED06F6734}"/>
                </c:ext>
              </c:extLst>
            </c:dLbl>
            <c:dLbl>
              <c:idx val="1"/>
              <c:layout>
                <c:manualLayout>
                  <c:x val="-7.7656261511748325E-3"/>
                  <c:y val="0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3b2.0p</a:t>
                    </a:r>
                  </a:p>
                </c:rich>
              </c:tx>
              <c:spPr>
                <a:solidFill>
                  <a:schemeClr val="accent5">
                    <a:alpha val="2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950F-B045-BA58-76DED06F6734}"/>
                </c:ext>
              </c:extLst>
            </c:dLbl>
            <c:dLbl>
              <c:idx val="2"/>
              <c:layout>
                <c:manualLayout>
                  <c:x val="-5.0512192120943981E-2"/>
                  <c:y val="-3.8634202137353593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3b3.0p</a:t>
                    </a:r>
                  </a:p>
                </c:rich>
              </c:tx>
              <c:spPr>
                <a:solidFill>
                  <a:schemeClr val="accent3">
                    <a:alpha val="2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950F-B045-BA58-76DED06F6734}"/>
                </c:ext>
              </c:extLst>
            </c:dLbl>
            <c:dLbl>
              <c:idx val="3"/>
              <c:layout>
                <c:manualLayout>
                  <c:x val="-7.7656261511747449E-3"/>
                  <c:y val="0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3b3.7p</a:t>
                    </a:r>
                  </a:p>
                </c:rich>
              </c:tx>
              <c:spPr>
                <a:solidFill>
                  <a:schemeClr val="accent1">
                    <a:alpha val="2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B541-704D-9FCA-7891B89A3B1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Sheet1!$E$6:$E$9</c:f>
              <c:numCache>
                <c:formatCode>General</c:formatCode>
                <c:ptCount val="4"/>
                <c:pt idx="0">
                  <c:v>3.61</c:v>
                </c:pt>
                <c:pt idx="1">
                  <c:v>4.17</c:v>
                </c:pt>
                <c:pt idx="2">
                  <c:v>3.2</c:v>
                </c:pt>
                <c:pt idx="3">
                  <c:v>3.64</c:v>
                </c:pt>
              </c:numCache>
            </c:numRef>
          </c:xVal>
          <c:yVal>
            <c:numRef>
              <c:f>Sheet1!$F$6:$F$9</c:f>
              <c:numCache>
                <c:formatCode>0.0</c:formatCode>
                <c:ptCount val="4"/>
                <c:pt idx="0">
                  <c:v>4.1866666666666665</c:v>
                </c:pt>
                <c:pt idx="1">
                  <c:v>3.5786666666666669</c:v>
                </c:pt>
                <c:pt idx="2">
                  <c:v>4.6239999999999997</c:v>
                </c:pt>
                <c:pt idx="3">
                  <c:v>4.4960000000000004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50F-B045-BA58-76DED06F6734}"/>
            </c:ext>
          </c:extLst>
        </c:ser>
        <c:dLbls>
          <c:dLblPos val="l"/>
          <c:showLegendKey val="0"/>
          <c:showVal val="1"/>
          <c:showCatName val="0"/>
          <c:showSerName val="0"/>
          <c:showPercent val="0"/>
          <c:showBubbleSize val="0"/>
        </c:dLbls>
        <c:axId val="2014917759"/>
        <c:axId val="2014919551"/>
      </c:scatterChart>
      <c:valAx>
        <c:axId val="2014917759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Hover</a:t>
                </a:r>
                <a:r>
                  <a:rPr lang="en-GB" baseline="0"/>
                  <a:t> current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919551"/>
        <c:crosses val="autoZero"/>
        <c:crossBetween val="midCat"/>
      </c:valAx>
      <c:valAx>
        <c:axId val="2014919551"/>
        <c:scaling>
          <c:orientation val="minMax"/>
          <c:min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T2W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9177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171450</xdr:colOff>
      <xdr:row>1</xdr:row>
      <xdr:rowOff>3055</xdr:rowOff>
    </xdr:from>
    <xdr:to>
      <xdr:col>14</xdr:col>
      <xdr:colOff>592030</xdr:colOff>
      <xdr:row>19</xdr:row>
      <xdr:rowOff>9548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EC74FE-6DB8-6CEE-78F4-0A8B39C727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0.51968</cdr:x>
      <cdr:y>0.2421</cdr:y>
    </cdr:from>
    <cdr:to>
      <cdr:x>0.64646</cdr:x>
      <cdr:y>0.45336</cdr:y>
    </cdr:to>
    <cdr:cxnSp macro="">
      <cdr:nvCxnSpPr>
        <cdr:cNvPr id="5" name="Straight Arrow Connector 4">
          <a:extLst xmlns:a="http://schemas.openxmlformats.org/drawingml/2006/main">
            <a:ext uri="{FF2B5EF4-FFF2-40B4-BE49-F238E27FC236}">
              <a16:creationId xmlns:a16="http://schemas.microsoft.com/office/drawing/2014/main" id="{A4CEB895-717E-87E7-2972-7F66292FE56E}"/>
            </a:ext>
          </a:extLst>
        </cdr:cNvPr>
        <cdr:cNvCxnSpPr/>
      </cdr:nvCxnSpPr>
      <cdr:spPr>
        <a:xfrm xmlns:a="http://schemas.openxmlformats.org/drawingml/2006/main" flipV="1">
          <a:off x="2779144" y="875442"/>
          <a:ext cx="677977" cy="763893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accent1">
              <a:alpha val="50000"/>
            </a:schemeClr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0.53039</cdr:x>
      <cdr:y>0.2157</cdr:y>
    </cdr:from>
    <cdr:to>
      <cdr:x>0.53397</cdr:x>
      <cdr:y>0.3583</cdr:y>
    </cdr:to>
    <cdr:cxnSp macro="">
      <cdr:nvCxnSpPr>
        <cdr:cNvPr id="7" name="Straight Arrow Connector 6">
          <a:extLst xmlns:a="http://schemas.openxmlformats.org/drawingml/2006/main">
            <a:ext uri="{FF2B5EF4-FFF2-40B4-BE49-F238E27FC236}">
              <a16:creationId xmlns:a16="http://schemas.microsoft.com/office/drawing/2014/main" id="{372CC8F8-23EB-2587-9FBB-F4797A8785FC}"/>
            </a:ext>
          </a:extLst>
        </cdr:cNvPr>
        <cdr:cNvCxnSpPr/>
      </cdr:nvCxnSpPr>
      <cdr:spPr>
        <a:xfrm xmlns:a="http://schemas.openxmlformats.org/drawingml/2006/main" flipV="1">
          <a:off x="2836444" y="779964"/>
          <a:ext cx="19120" cy="515628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accent3">
              <a:alpha val="50000"/>
            </a:schemeClr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0.55361</cdr:x>
      <cdr:y>0.30812</cdr:y>
    </cdr:from>
    <cdr:to>
      <cdr:x>0.63396</cdr:x>
      <cdr:y>0.54843</cdr:y>
    </cdr:to>
    <cdr:cxnSp macro="">
      <cdr:nvCxnSpPr>
        <cdr:cNvPr id="9" name="Straight Arrow Connector 8">
          <a:extLst xmlns:a="http://schemas.openxmlformats.org/drawingml/2006/main">
            <a:ext uri="{FF2B5EF4-FFF2-40B4-BE49-F238E27FC236}">
              <a16:creationId xmlns:a16="http://schemas.microsoft.com/office/drawing/2014/main" id="{7179F4C3-C112-3364-7EA2-17A618102A57}"/>
            </a:ext>
          </a:extLst>
        </cdr:cNvPr>
        <cdr:cNvCxnSpPr/>
      </cdr:nvCxnSpPr>
      <cdr:spPr>
        <a:xfrm xmlns:a="http://schemas.openxmlformats.org/drawingml/2006/main" flipV="1">
          <a:off x="2960580" y="1114164"/>
          <a:ext cx="429699" cy="868947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accent2">
              <a:alpha val="50000"/>
            </a:schemeClr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0.68217</cdr:x>
      <cdr:y>0.43224</cdr:y>
    </cdr:from>
    <cdr:to>
      <cdr:x>0.7768</cdr:x>
      <cdr:y>0.68047</cdr:y>
    </cdr:to>
    <cdr:cxnSp macro="">
      <cdr:nvCxnSpPr>
        <cdr:cNvPr id="11" name="Straight Arrow Connector 10">
          <a:extLst xmlns:a="http://schemas.openxmlformats.org/drawingml/2006/main">
            <a:ext uri="{FF2B5EF4-FFF2-40B4-BE49-F238E27FC236}">
              <a16:creationId xmlns:a16="http://schemas.microsoft.com/office/drawing/2014/main" id="{AF801E4B-22ED-7D59-6589-267C8F68865D}"/>
            </a:ext>
          </a:extLst>
        </cdr:cNvPr>
        <cdr:cNvCxnSpPr/>
      </cdr:nvCxnSpPr>
      <cdr:spPr>
        <a:xfrm xmlns:a="http://schemas.openxmlformats.org/drawingml/2006/main" flipV="1">
          <a:off x="3648099" y="1562961"/>
          <a:ext cx="506090" cy="897594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accent5">
              <a:alpha val="50000"/>
            </a:schemeClr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0.12686</cdr:x>
      <cdr:y>0.15232</cdr:y>
    </cdr:from>
    <cdr:to>
      <cdr:x>0.2572</cdr:x>
      <cdr:y>0.23418</cdr:y>
    </cdr:to>
    <cdr:sp macro="" textlink="">
      <cdr:nvSpPr>
        <cdr:cNvPr id="18" name="TextBox 17">
          <a:extLst xmlns:a="http://schemas.openxmlformats.org/drawingml/2006/main">
            <a:ext uri="{FF2B5EF4-FFF2-40B4-BE49-F238E27FC236}">
              <a16:creationId xmlns:a16="http://schemas.microsoft.com/office/drawing/2014/main" id="{8E933F9E-D5A5-4951-FD50-FEE5B07127DE}"/>
            </a:ext>
          </a:extLst>
        </cdr:cNvPr>
        <cdr:cNvSpPr txBox="1"/>
      </cdr:nvSpPr>
      <cdr:spPr>
        <a:xfrm xmlns:a="http://schemas.openxmlformats.org/drawingml/2006/main">
          <a:off x="678399" y="550779"/>
          <a:ext cx="697068" cy="29601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400" b="1" kern="1200">
              <a:latin typeface="Times New Roman" panose="02020603050405020304" pitchFamily="18" charset="0"/>
              <a:cs typeface="Times New Roman" panose="02020603050405020304" pitchFamily="18" charset="0"/>
            </a:rPr>
            <a:t>Better</a:t>
          </a:r>
        </a:p>
      </cdr:txBody>
    </cdr:sp>
  </cdr:relSizeAnchor>
  <cdr:relSizeAnchor xmlns:cdr="http://schemas.openxmlformats.org/drawingml/2006/chartDrawing">
    <cdr:from>
      <cdr:x>0.74158</cdr:x>
      <cdr:y>0.7561</cdr:y>
    </cdr:from>
    <cdr:to>
      <cdr:x>0.87193</cdr:x>
      <cdr:y>0.83796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ECC74D9B-0B34-5EBB-88C2-81F66A377754}"/>
            </a:ext>
          </a:extLst>
        </cdr:cNvPr>
        <cdr:cNvSpPr txBox="1"/>
      </cdr:nvSpPr>
      <cdr:spPr>
        <a:xfrm xmlns:a="http://schemas.openxmlformats.org/drawingml/2006/main">
          <a:off x="3965837" y="2734033"/>
          <a:ext cx="697068" cy="29601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400" b="1" kern="1200">
              <a:latin typeface="Times New Roman" panose="02020603050405020304" pitchFamily="18" charset="0"/>
              <a:cs typeface="Times New Roman" panose="02020603050405020304" pitchFamily="18" charset="0"/>
            </a:rPr>
            <a:t>Worse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ADEF3-5070-BB4E-B4DE-A69038BAC5CF}">
  <dimension ref="A1:H28"/>
  <sheetViews>
    <sheetView tabSelected="1" zoomScale="133" workbookViewId="0">
      <selection activeCell="H10" sqref="H10:H18"/>
    </sheetView>
  </sheetViews>
  <sheetFormatPr baseColWidth="10" defaultRowHeight="16" x14ac:dyDescent="0.2"/>
  <cols>
    <col min="1" max="1" width="20.1640625" customWidth="1"/>
    <col min="3" max="3" width="11.33203125" bestFit="1" customWidth="1"/>
    <col min="4" max="4" width="12.5" bestFit="1" customWidth="1"/>
    <col min="5" max="5" width="12.33203125" bestFit="1" customWidth="1"/>
  </cols>
  <sheetData>
    <row r="1" spans="1:7" x14ac:dyDescent="0.2">
      <c r="B1" t="s">
        <v>6</v>
      </c>
      <c r="C1" t="s">
        <v>7</v>
      </c>
      <c r="D1" t="s">
        <v>8</v>
      </c>
      <c r="E1" t="s">
        <v>9</v>
      </c>
      <c r="F1" t="s">
        <v>11</v>
      </c>
    </row>
    <row r="2" spans="1:7" x14ac:dyDescent="0.2">
      <c r="A2" t="s">
        <v>0</v>
      </c>
      <c r="B2">
        <v>542</v>
      </c>
      <c r="C2">
        <v>13.74</v>
      </c>
      <c r="D2">
        <v>50</v>
      </c>
      <c r="E2">
        <v>3.25</v>
      </c>
      <c r="F2" s="1">
        <f>B2*4/$B$13</f>
        <v>2.8906666666666667</v>
      </c>
      <c r="G2" t="s">
        <v>16</v>
      </c>
    </row>
    <row r="3" spans="1:7" x14ac:dyDescent="0.2">
      <c r="A3" t="s">
        <v>15</v>
      </c>
      <c r="B3">
        <v>418</v>
      </c>
      <c r="C3">
        <v>10.86</v>
      </c>
      <c r="D3">
        <v>59</v>
      </c>
      <c r="E3">
        <v>3.76</v>
      </c>
      <c r="F3" s="1">
        <f t="shared" ref="F3:F9" si="0">B3*4/$B$13</f>
        <v>2.2293333333333334</v>
      </c>
      <c r="G3" t="s">
        <v>17</v>
      </c>
    </row>
    <row r="4" spans="1:7" x14ac:dyDescent="0.2">
      <c r="A4" t="s">
        <v>1</v>
      </c>
      <c r="B4">
        <v>711</v>
      </c>
      <c r="C4">
        <v>19.989999999999998</v>
      </c>
      <c r="D4">
        <v>44</v>
      </c>
      <c r="E4">
        <v>3.16</v>
      </c>
      <c r="F4" s="1">
        <f t="shared" si="0"/>
        <v>3.7919999999999998</v>
      </c>
    </row>
    <row r="5" spans="1:7" x14ac:dyDescent="0.2">
      <c r="A5" t="s">
        <v>2</v>
      </c>
      <c r="B5">
        <v>625</v>
      </c>
      <c r="C5">
        <v>18.11</v>
      </c>
      <c r="D5">
        <v>43</v>
      </c>
      <c r="E5">
        <v>3.13</v>
      </c>
      <c r="F5" s="1">
        <f t="shared" si="0"/>
        <v>3.3333333333333335</v>
      </c>
      <c r="G5" t="s">
        <v>17</v>
      </c>
    </row>
    <row r="6" spans="1:7" x14ac:dyDescent="0.2">
      <c r="A6" t="s">
        <v>3</v>
      </c>
      <c r="B6">
        <v>785</v>
      </c>
      <c r="C6">
        <v>24.94</v>
      </c>
      <c r="D6">
        <v>37</v>
      </c>
      <c r="E6">
        <v>3.61</v>
      </c>
      <c r="F6" s="1">
        <f t="shared" si="0"/>
        <v>4.1866666666666665</v>
      </c>
    </row>
    <row r="7" spans="1:7" x14ac:dyDescent="0.2">
      <c r="A7" t="s">
        <v>10</v>
      </c>
      <c r="B7">
        <v>671</v>
      </c>
      <c r="C7">
        <v>20.57</v>
      </c>
      <c r="D7">
        <v>44</v>
      </c>
      <c r="E7">
        <v>4.17</v>
      </c>
      <c r="F7" s="1">
        <f t="shared" si="0"/>
        <v>3.5786666666666669</v>
      </c>
    </row>
    <row r="8" spans="1:7" x14ac:dyDescent="0.2">
      <c r="A8" t="s">
        <v>4</v>
      </c>
      <c r="B8">
        <v>867</v>
      </c>
      <c r="C8">
        <v>30.51</v>
      </c>
      <c r="D8">
        <v>33</v>
      </c>
      <c r="E8">
        <v>3.2</v>
      </c>
      <c r="F8" s="1">
        <f t="shared" si="0"/>
        <v>4.6239999999999997</v>
      </c>
    </row>
    <row r="9" spans="1:7" x14ac:dyDescent="0.2">
      <c r="A9" t="s">
        <v>5</v>
      </c>
      <c r="B9">
        <v>843</v>
      </c>
      <c r="C9">
        <v>30.3</v>
      </c>
      <c r="D9">
        <v>33</v>
      </c>
      <c r="E9">
        <v>3.64</v>
      </c>
      <c r="F9" s="1">
        <f t="shared" si="0"/>
        <v>4.4960000000000004</v>
      </c>
    </row>
    <row r="11" spans="1:7" x14ac:dyDescent="0.2">
      <c r="D11" t="s">
        <v>13</v>
      </c>
      <c r="E11">
        <f>AVERAGE(E2:E5)</f>
        <v>3.3250000000000002</v>
      </c>
      <c r="F11" s="1">
        <f>AVERAGE(F2:F5)</f>
        <v>3.0613333333333332</v>
      </c>
    </row>
    <row r="12" spans="1:7" x14ac:dyDescent="0.2">
      <c r="D12" t="s">
        <v>14</v>
      </c>
      <c r="E12">
        <f>AVERAGE(E6:E9)</f>
        <v>3.6550000000000002</v>
      </c>
      <c r="F12" s="1">
        <f>AVERAGE(F6:F9)</f>
        <v>4.2213333333333338</v>
      </c>
    </row>
    <row r="13" spans="1:7" x14ac:dyDescent="0.2">
      <c r="A13" t="s">
        <v>12</v>
      </c>
      <c r="B13">
        <v>750</v>
      </c>
    </row>
    <row r="20" spans="1:8" x14ac:dyDescent="0.2">
      <c r="B20" t="s">
        <v>26</v>
      </c>
      <c r="C20" t="s">
        <v>27</v>
      </c>
      <c r="D20" t="s">
        <v>28</v>
      </c>
      <c r="E20" t="s">
        <v>29</v>
      </c>
      <c r="G20" t="s">
        <v>30</v>
      </c>
      <c r="H20" t="s">
        <v>31</v>
      </c>
    </row>
    <row r="21" spans="1:8" x14ac:dyDescent="0.2">
      <c r="A21" t="s">
        <v>18</v>
      </c>
      <c r="B21">
        <v>5.7500000000000002E-2</v>
      </c>
      <c r="C21">
        <v>13.92</v>
      </c>
      <c r="D21">
        <v>1.7899999999999999E-2</v>
      </c>
      <c r="E21">
        <v>3.69</v>
      </c>
      <c r="G21" s="2">
        <v>4.9490000000000004E-6</v>
      </c>
      <c r="H21" s="2">
        <v>9.4380000000000001E-5</v>
      </c>
    </row>
    <row r="22" spans="1:8" x14ac:dyDescent="0.2">
      <c r="A22" t="s">
        <v>19</v>
      </c>
      <c r="B22">
        <v>4.5999999999999999E-2</v>
      </c>
      <c r="C22">
        <v>11.57</v>
      </c>
      <c r="D22">
        <v>1.8200000000000001E-2</v>
      </c>
      <c r="E22">
        <v>4.08</v>
      </c>
      <c r="G22" s="2">
        <v>4.0280000000000002E-6</v>
      </c>
      <c r="H22" s="2">
        <v>6.3730000000000001E-5</v>
      </c>
    </row>
    <row r="23" spans="1:8" x14ac:dyDescent="0.2">
      <c r="A23" t="s">
        <v>20</v>
      </c>
      <c r="B23">
        <v>8.0500000000000002E-2</v>
      </c>
      <c r="C23">
        <v>18.89</v>
      </c>
      <c r="D23">
        <v>2.1000000000000001E-2</v>
      </c>
      <c r="E23">
        <v>3.73</v>
      </c>
      <c r="G23" s="2">
        <v>6.4030000000000004E-6</v>
      </c>
      <c r="H23" s="2">
        <v>1.884E-4</v>
      </c>
    </row>
    <row r="24" spans="1:8" x14ac:dyDescent="0.2">
      <c r="A24" t="s">
        <v>21</v>
      </c>
      <c r="B24">
        <v>7.85E-2</v>
      </c>
      <c r="C24">
        <v>19.11</v>
      </c>
      <c r="D24">
        <v>2.07E-2</v>
      </c>
      <c r="E24">
        <v>3.18</v>
      </c>
      <c r="G24" s="2">
        <v>5.8989999999999998E-6</v>
      </c>
      <c r="H24" s="2">
        <v>2.2570000000000001E-4</v>
      </c>
    </row>
    <row r="25" spans="1:8" x14ac:dyDescent="0.2">
      <c r="A25" t="s">
        <v>22</v>
      </c>
      <c r="B25">
        <v>8.4400000000000003E-2</v>
      </c>
      <c r="C25">
        <v>25.97</v>
      </c>
      <c r="D25">
        <v>1.7999999999999999E-2</v>
      </c>
      <c r="E25">
        <v>3.64</v>
      </c>
      <c r="G25" s="2">
        <v>5.6019999999999999E-6</v>
      </c>
      <c r="H25" s="2">
        <v>3.035E-4</v>
      </c>
    </row>
    <row r="26" spans="1:8" x14ac:dyDescent="0.2">
      <c r="A26" t="s">
        <v>23</v>
      </c>
      <c r="B26">
        <v>6.8900000000000003E-2</v>
      </c>
      <c r="C26">
        <v>20.92</v>
      </c>
      <c r="D26">
        <v>1.9E-2</v>
      </c>
      <c r="E26">
        <v>4.54</v>
      </c>
      <c r="G26" s="2">
        <v>4.9309999999999999E-6</v>
      </c>
      <c r="H26" s="2">
        <v>2.1110000000000001E-4</v>
      </c>
    </row>
    <row r="27" spans="1:8" x14ac:dyDescent="0.2">
      <c r="A27" t="s">
        <v>24</v>
      </c>
      <c r="B27">
        <v>0.1077</v>
      </c>
      <c r="C27">
        <v>32.86</v>
      </c>
      <c r="D27">
        <v>2.12E-2</v>
      </c>
      <c r="E27">
        <v>3.22</v>
      </c>
      <c r="G27" s="2">
        <v>6.3090000000000001E-6</v>
      </c>
      <c r="H27" s="2">
        <v>4.9890000000000004E-4</v>
      </c>
    </row>
    <row r="28" spans="1:8" x14ac:dyDescent="0.2">
      <c r="A28" t="s">
        <v>25</v>
      </c>
      <c r="B28">
        <v>0.10639999999999999</v>
      </c>
      <c r="C28">
        <v>34.64</v>
      </c>
      <c r="D28">
        <v>2.2200000000000001E-2</v>
      </c>
      <c r="E28">
        <v>3.09</v>
      </c>
      <c r="G28" s="2">
        <v>5.4469999999999997E-6</v>
      </c>
      <c r="H28" s="2">
        <v>5.666E-4</v>
      </c>
    </row>
  </sheetData>
  <conditionalFormatting sqref="B21:B2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:D2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9">
    <cfRule type="cellIs" dxfId="1" priority="3" operator="lessThan">
      <formula>3</formula>
    </cfRule>
    <cfRule type="cellIs" dxfId="0" priority="4" operator="greaterThan">
      <formula>3</formula>
    </cfRule>
  </conditionalFormatting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Richardson</dc:creator>
  <cp:lastModifiedBy>Luke Richardson</cp:lastModifiedBy>
  <dcterms:created xsi:type="dcterms:W3CDTF">2025-12-15T11:03:50Z</dcterms:created>
  <dcterms:modified xsi:type="dcterms:W3CDTF">2025-12-22T17:48:17Z</dcterms:modified>
</cp:coreProperties>
</file>
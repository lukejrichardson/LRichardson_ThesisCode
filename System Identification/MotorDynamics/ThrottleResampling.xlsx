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otorDynamics/"/>
    </mc:Choice>
  </mc:AlternateContent>
  <xr:revisionPtr revIDLastSave="0" documentId="8_{ABA6E7CE-64A0-9146-95F6-DE2E6C5AD1A1}" xr6:coauthVersionLast="47" xr6:coauthVersionMax="47" xr10:uidLastSave="{00000000-0000-0000-0000-000000000000}"/>
  <bookViews>
    <workbookView xWindow="24200" yWindow="2220" windowWidth="10000" windowHeight="17180" xr2:uid="{10797C2F-D6FF-1B4F-A359-1936C6D83F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5" i="1" l="1"/>
  <c r="G95" i="1" s="1"/>
  <c r="D94" i="1"/>
  <c r="G94" i="1" s="1"/>
  <c r="D93" i="1"/>
  <c r="E93" i="1" s="1"/>
  <c r="D92" i="1"/>
  <c r="G92" i="1" s="1"/>
  <c r="D91" i="1"/>
  <c r="G91" i="1" s="1"/>
  <c r="D90" i="1"/>
  <c r="G90" i="1" s="1"/>
  <c r="D87" i="1"/>
  <c r="E87" i="1" s="1"/>
  <c r="D86" i="1"/>
  <c r="E86" i="1" s="1"/>
  <c r="D84" i="1"/>
  <c r="G84" i="1" s="1"/>
  <c r="D83" i="1"/>
  <c r="F83" i="1" s="1"/>
  <c r="D82" i="1"/>
  <c r="G82" i="1" s="1"/>
  <c r="D81" i="1"/>
  <c r="F81" i="1" s="1"/>
  <c r="D80" i="1"/>
  <c r="E80" i="1" s="1"/>
  <c r="D79" i="1"/>
  <c r="G79" i="1" s="1"/>
  <c r="D73" i="1"/>
  <c r="E73" i="1" s="1"/>
  <c r="D72" i="1"/>
  <c r="E72" i="1" s="1"/>
  <c r="D71" i="1"/>
  <c r="G71" i="1" s="1"/>
  <c r="D70" i="1"/>
  <c r="G70" i="1" s="1"/>
  <c r="D69" i="1"/>
  <c r="G69" i="1" s="1"/>
  <c r="D68" i="1"/>
  <c r="E68" i="1" s="1"/>
  <c r="D65" i="1"/>
  <c r="E65" i="1" s="1"/>
  <c r="D64" i="1"/>
  <c r="F64" i="1" s="1"/>
  <c r="D62" i="1"/>
  <c r="E62" i="1" s="1"/>
  <c r="D61" i="1"/>
  <c r="F61" i="1" s="1"/>
  <c r="D60" i="1"/>
  <c r="G60" i="1" s="1"/>
  <c r="D59" i="1"/>
  <c r="G59" i="1" s="1"/>
  <c r="D58" i="1"/>
  <c r="G58" i="1" s="1"/>
  <c r="D57" i="1"/>
  <c r="E57" i="1" s="1"/>
  <c r="D51" i="1"/>
  <c r="G51" i="1" s="1"/>
  <c r="D50" i="1"/>
  <c r="G50" i="1" s="1"/>
  <c r="D49" i="1"/>
  <c r="E49" i="1" s="1"/>
  <c r="D48" i="1"/>
  <c r="F48" i="1" s="1"/>
  <c r="D47" i="1"/>
  <c r="F47" i="1" s="1"/>
  <c r="D46" i="1"/>
  <c r="G46" i="1" s="1"/>
  <c r="D45" i="1"/>
  <c r="F45" i="1" s="1"/>
  <c r="D44" i="1"/>
  <c r="E44" i="1" s="1"/>
  <c r="D41" i="1"/>
  <c r="F41" i="1" s="1"/>
  <c r="D40" i="1"/>
  <c r="G40" i="1" s="1"/>
  <c r="D38" i="1"/>
  <c r="G38" i="1" s="1"/>
  <c r="D37" i="1"/>
  <c r="G37" i="1" s="1"/>
  <c r="D36" i="1"/>
  <c r="E36" i="1" s="1"/>
  <c r="D35" i="1"/>
  <c r="F35" i="1" s="1"/>
  <c r="D34" i="1"/>
  <c r="E34" i="1" s="1"/>
  <c r="D33" i="1"/>
  <c r="G33" i="1" s="1"/>
  <c r="D32" i="1"/>
  <c r="E32" i="1" s="1"/>
  <c r="D31" i="1"/>
  <c r="E31" i="1" s="1"/>
  <c r="G10" i="1"/>
  <c r="G15" i="1"/>
  <c r="G18" i="1"/>
  <c r="G19" i="1"/>
  <c r="G20" i="1"/>
  <c r="G5" i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4" i="1"/>
  <c r="E14" i="1" s="1"/>
  <c r="D15" i="1"/>
  <c r="F15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G25" i="1" s="1"/>
  <c r="D5" i="1"/>
  <c r="E5" i="1" s="1"/>
  <c r="E94" i="1" l="1"/>
  <c r="F93" i="1"/>
  <c r="G93" i="1"/>
  <c r="F86" i="1"/>
  <c r="G86" i="1"/>
  <c r="G80" i="1"/>
  <c r="F80" i="1"/>
  <c r="F91" i="1"/>
  <c r="F87" i="1"/>
  <c r="F94" i="1"/>
  <c r="E79" i="1"/>
  <c r="G81" i="1"/>
  <c r="E84" i="1"/>
  <c r="G87" i="1"/>
  <c r="E92" i="1"/>
  <c r="E95" i="1"/>
  <c r="E83" i="1"/>
  <c r="E91" i="1"/>
  <c r="E81" i="1"/>
  <c r="G83" i="1"/>
  <c r="F79" i="1"/>
  <c r="F84" i="1"/>
  <c r="F92" i="1"/>
  <c r="E82" i="1"/>
  <c r="E90" i="1"/>
  <c r="F82" i="1"/>
  <c r="F95" i="1"/>
  <c r="F90" i="1"/>
  <c r="G8" i="1"/>
  <c r="F14" i="1"/>
  <c r="G7" i="1"/>
  <c r="F11" i="1"/>
  <c r="G6" i="1"/>
  <c r="G23" i="1"/>
  <c r="F18" i="1"/>
  <c r="G21" i="1"/>
  <c r="F25" i="1"/>
  <c r="F12" i="1"/>
  <c r="G22" i="1"/>
  <c r="G9" i="1"/>
  <c r="F36" i="1"/>
  <c r="E47" i="1"/>
  <c r="F72" i="1"/>
  <c r="F23" i="1"/>
  <c r="F73" i="1"/>
  <c r="G73" i="1"/>
  <c r="F22" i="1"/>
  <c r="F9" i="1"/>
  <c r="F8" i="1"/>
  <c r="F7" i="1"/>
  <c r="E25" i="1"/>
  <c r="F19" i="1"/>
  <c r="F6" i="1"/>
  <c r="G14" i="1"/>
  <c r="F57" i="1"/>
  <c r="F24" i="1"/>
  <c r="F10" i="1"/>
  <c r="F62" i="1"/>
  <c r="F21" i="1"/>
  <c r="G57" i="1"/>
  <c r="G36" i="1"/>
  <c r="G62" i="1"/>
  <c r="F20" i="1"/>
  <c r="E15" i="1"/>
  <c r="G12" i="1"/>
  <c r="F5" i="1"/>
  <c r="G24" i="1"/>
  <c r="G11" i="1"/>
  <c r="E71" i="1"/>
  <c r="F68" i="1"/>
  <c r="E60" i="1"/>
  <c r="E64" i="1"/>
  <c r="F60" i="1"/>
  <c r="G64" i="1"/>
  <c r="F58" i="1"/>
  <c r="F65" i="1"/>
  <c r="E59" i="1"/>
  <c r="G61" i="1"/>
  <c r="G65" i="1"/>
  <c r="E70" i="1"/>
  <c r="G72" i="1"/>
  <c r="G68" i="1"/>
  <c r="F71" i="1"/>
  <c r="E58" i="1"/>
  <c r="E69" i="1"/>
  <c r="F69" i="1"/>
  <c r="E61" i="1"/>
  <c r="F59" i="1"/>
  <c r="F70" i="1"/>
  <c r="G49" i="1"/>
  <c r="G47" i="1"/>
  <c r="G44" i="1"/>
  <c r="F44" i="1"/>
  <c r="E40" i="1"/>
  <c r="F40" i="1"/>
  <c r="F34" i="1"/>
  <c r="G34" i="1"/>
  <c r="G31" i="1"/>
  <c r="F31" i="1"/>
  <c r="F32" i="1"/>
  <c r="G32" i="1"/>
  <c r="G45" i="1"/>
  <c r="F49" i="1"/>
  <c r="E33" i="1"/>
  <c r="G35" i="1"/>
  <c r="E38" i="1"/>
  <c r="G41" i="1"/>
  <c r="E46" i="1"/>
  <c r="G48" i="1"/>
  <c r="E51" i="1"/>
  <c r="E37" i="1"/>
  <c r="E45" i="1"/>
  <c r="F37" i="1"/>
  <c r="E41" i="1"/>
  <c r="F51" i="1"/>
  <c r="E50" i="1"/>
  <c r="F50" i="1"/>
  <c r="E35" i="1"/>
  <c r="E48" i="1"/>
  <c r="F33" i="1"/>
  <c r="F38" i="1"/>
  <c r="F46" i="1"/>
</calcChain>
</file>

<file path=xl/sharedStrings.xml><?xml version="1.0" encoding="utf-8"?>
<sst xmlns="http://schemas.openxmlformats.org/spreadsheetml/2006/main" count="101" uniqueCount="29">
  <si>
    <t>20-40</t>
  </si>
  <si>
    <t>40-60</t>
  </si>
  <si>
    <t>60-80</t>
  </si>
  <si>
    <t>80-100</t>
  </si>
  <si>
    <t>100-80</t>
  </si>
  <si>
    <t>80-60</t>
  </si>
  <si>
    <t>60-40</t>
  </si>
  <si>
    <t>40-20</t>
  </si>
  <si>
    <t>Test1</t>
  </si>
  <si>
    <t>Cold</t>
  </si>
  <si>
    <t>PWM</t>
  </si>
  <si>
    <t>Time</t>
  </si>
  <si>
    <t>NewIndex</t>
  </si>
  <si>
    <t>NewTime</t>
  </si>
  <si>
    <t>Hot</t>
  </si>
  <si>
    <t>hoverOn</t>
  </si>
  <si>
    <t>HoverOff</t>
  </si>
  <si>
    <t>New f_s</t>
  </si>
  <si>
    <t>startIndexIsh</t>
  </si>
  <si>
    <t>endIndexIsh</t>
  </si>
  <si>
    <t>Test2</t>
  </si>
  <si>
    <t>Test3</t>
  </si>
  <si>
    <t>10-40</t>
  </si>
  <si>
    <t>40-70</t>
  </si>
  <si>
    <t>70-100</t>
  </si>
  <si>
    <t>100-70</t>
  </si>
  <si>
    <t>70-40</t>
  </si>
  <si>
    <t>40-10</t>
  </si>
  <si>
    <t>Test4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</si>
</sst>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C401-BD0E-6843-ACF7-68A489532CFE}">
  <dimension ref="A1:G95"/>
  <sheetViews>
    <sheetView tabSelected="1" workbookViewId="0">
      <selection activeCell="D79" sqref="D79:D95"/>
    </sheetView>
  </sheetViews>
  <sheetFormatPr baseColWidth="10" defaultRowHeight="16" x14ac:dyDescent="0.2"/>
  <sheetData>
    <row r="1" spans="1:7" x14ac:dyDescent="0.2">
      <c r="A1" t="s">
        <v>17</v>
      </c>
      <c r="B1">
        <v>80</v>
      </c>
    </row>
    <row r="2" spans="1:7" x14ac:dyDescent="0.2">
      <c r="A2" t="s">
        <v>8</v>
      </c>
    </row>
    <row r="3" spans="1:7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18</v>
      </c>
      <c r="G3" t="s">
        <v>19</v>
      </c>
    </row>
    <row r="5" spans="1:7" x14ac:dyDescent="0.2">
      <c r="B5" t="s">
        <v>0</v>
      </c>
      <c r="C5">
        <v>2.9279999999999999</v>
      </c>
      <c r="D5">
        <f>ROUND(C5*$B$1,0)</f>
        <v>234</v>
      </c>
      <c r="E5">
        <f>D5/$B$1</f>
        <v>2.9249999999999998</v>
      </c>
      <c r="F5">
        <f>D5-30</f>
        <v>204</v>
      </c>
      <c r="G5">
        <f>D5+70</f>
        <v>304</v>
      </c>
    </row>
    <row r="6" spans="1:7" x14ac:dyDescent="0.2">
      <c r="B6" t="s">
        <v>1</v>
      </c>
      <c r="C6">
        <v>4.9379999999999997</v>
      </c>
      <c r="D6">
        <f t="shared" ref="D6:D25" si="0">ROUND(C6*$B$1,0)</f>
        <v>395</v>
      </c>
      <c r="E6">
        <f t="shared" ref="E6:E25" si="1">D6/$B$1</f>
        <v>4.9375</v>
      </c>
      <c r="F6">
        <f t="shared" ref="F6:F25" si="2">D6-30</f>
        <v>365</v>
      </c>
      <c r="G6">
        <f t="shared" ref="G6:G25" si="3">D6+70</f>
        <v>465</v>
      </c>
    </row>
    <row r="7" spans="1:7" x14ac:dyDescent="0.2">
      <c r="B7" t="s">
        <v>2</v>
      </c>
      <c r="C7">
        <v>6.9260000000000002</v>
      </c>
      <c r="D7">
        <f t="shared" si="0"/>
        <v>554</v>
      </c>
      <c r="E7">
        <f t="shared" si="1"/>
        <v>6.9249999999999998</v>
      </c>
      <c r="F7">
        <f t="shared" si="2"/>
        <v>524</v>
      </c>
      <c r="G7">
        <f t="shared" si="3"/>
        <v>624</v>
      </c>
    </row>
    <row r="8" spans="1:7" x14ac:dyDescent="0.2">
      <c r="B8" t="s">
        <v>3</v>
      </c>
      <c r="C8">
        <v>8.923</v>
      </c>
      <c r="D8">
        <f t="shared" si="0"/>
        <v>714</v>
      </c>
      <c r="E8">
        <f t="shared" si="1"/>
        <v>8.9250000000000007</v>
      </c>
      <c r="F8">
        <f t="shared" si="2"/>
        <v>684</v>
      </c>
      <c r="G8">
        <f t="shared" si="3"/>
        <v>784</v>
      </c>
    </row>
    <row r="9" spans="1:7" x14ac:dyDescent="0.2">
      <c r="B9" t="s">
        <v>4</v>
      </c>
      <c r="C9">
        <v>10.933999999999999</v>
      </c>
      <c r="D9">
        <f t="shared" si="0"/>
        <v>875</v>
      </c>
      <c r="E9">
        <f t="shared" si="1"/>
        <v>10.9375</v>
      </c>
      <c r="F9">
        <f t="shared" si="2"/>
        <v>845</v>
      </c>
      <c r="G9">
        <f t="shared" si="3"/>
        <v>945</v>
      </c>
    </row>
    <row r="10" spans="1:7" x14ac:dyDescent="0.2">
      <c r="B10" t="s">
        <v>5</v>
      </c>
      <c r="C10">
        <v>12.932</v>
      </c>
      <c r="D10">
        <f t="shared" si="0"/>
        <v>1035</v>
      </c>
      <c r="E10">
        <f t="shared" si="1"/>
        <v>12.9375</v>
      </c>
      <c r="F10">
        <f t="shared" si="2"/>
        <v>1005</v>
      </c>
      <c r="G10">
        <f t="shared" si="3"/>
        <v>1105</v>
      </c>
    </row>
    <row r="11" spans="1:7" x14ac:dyDescent="0.2">
      <c r="B11" t="s">
        <v>6</v>
      </c>
      <c r="C11">
        <v>14.919</v>
      </c>
      <c r="D11">
        <f t="shared" si="0"/>
        <v>1194</v>
      </c>
      <c r="E11">
        <f t="shared" si="1"/>
        <v>14.925000000000001</v>
      </c>
      <c r="F11">
        <f t="shared" si="2"/>
        <v>1164</v>
      </c>
      <c r="G11">
        <f t="shared" si="3"/>
        <v>1264</v>
      </c>
    </row>
    <row r="12" spans="1:7" x14ac:dyDescent="0.2">
      <c r="B12" t="s">
        <v>7</v>
      </c>
      <c r="C12">
        <v>16.928999999999998</v>
      </c>
      <c r="D12">
        <f t="shared" si="0"/>
        <v>1354</v>
      </c>
      <c r="E12">
        <f t="shared" si="1"/>
        <v>16.925000000000001</v>
      </c>
      <c r="F12">
        <f t="shared" si="2"/>
        <v>1324</v>
      </c>
      <c r="G12">
        <f t="shared" si="3"/>
        <v>1424</v>
      </c>
    </row>
    <row r="14" spans="1:7" x14ac:dyDescent="0.2">
      <c r="A14" t="s">
        <v>15</v>
      </c>
      <c r="B14">
        <v>40</v>
      </c>
      <c r="C14">
        <v>18.927</v>
      </c>
      <c r="D14">
        <f t="shared" si="0"/>
        <v>1514</v>
      </c>
      <c r="E14">
        <f t="shared" si="1"/>
        <v>18.925000000000001</v>
      </c>
      <c r="F14">
        <f t="shared" si="2"/>
        <v>1484</v>
      </c>
      <c r="G14">
        <f t="shared" si="3"/>
        <v>1584</v>
      </c>
    </row>
    <row r="15" spans="1:7" x14ac:dyDescent="0.2">
      <c r="A15" t="s">
        <v>16</v>
      </c>
      <c r="B15">
        <v>40</v>
      </c>
      <c r="C15">
        <v>138.80600000000001</v>
      </c>
      <c r="D15">
        <f t="shared" si="0"/>
        <v>11104</v>
      </c>
      <c r="E15">
        <f t="shared" si="1"/>
        <v>138.80000000000001</v>
      </c>
      <c r="F15">
        <f t="shared" si="2"/>
        <v>11074</v>
      </c>
      <c r="G15">
        <f t="shared" si="3"/>
        <v>11174</v>
      </c>
    </row>
    <row r="17" spans="1:7" x14ac:dyDescent="0.2">
      <c r="A17" t="s">
        <v>14</v>
      </c>
    </row>
    <row r="18" spans="1:7" x14ac:dyDescent="0.2">
      <c r="B18" t="s">
        <v>0</v>
      </c>
      <c r="C18">
        <v>140.803</v>
      </c>
      <c r="D18">
        <f t="shared" si="0"/>
        <v>11264</v>
      </c>
      <c r="E18">
        <f t="shared" si="1"/>
        <v>140.80000000000001</v>
      </c>
      <c r="F18">
        <f t="shared" si="2"/>
        <v>11234</v>
      </c>
      <c r="G18">
        <f t="shared" si="3"/>
        <v>11334</v>
      </c>
    </row>
    <row r="19" spans="1:7" x14ac:dyDescent="0.2">
      <c r="B19" t="s">
        <v>1</v>
      </c>
      <c r="C19">
        <v>142.80199999999999</v>
      </c>
      <c r="D19">
        <f t="shared" si="0"/>
        <v>11424</v>
      </c>
      <c r="E19">
        <f t="shared" si="1"/>
        <v>142.80000000000001</v>
      </c>
      <c r="F19">
        <f t="shared" si="2"/>
        <v>11394</v>
      </c>
      <c r="G19">
        <f t="shared" si="3"/>
        <v>11494</v>
      </c>
    </row>
    <row r="20" spans="1:7" x14ac:dyDescent="0.2">
      <c r="B20" t="s">
        <v>2</v>
      </c>
      <c r="C20">
        <v>144.80000000000001</v>
      </c>
      <c r="D20">
        <f t="shared" si="0"/>
        <v>11584</v>
      </c>
      <c r="E20">
        <f t="shared" si="1"/>
        <v>144.80000000000001</v>
      </c>
      <c r="F20">
        <f t="shared" si="2"/>
        <v>11554</v>
      </c>
      <c r="G20">
        <f t="shared" si="3"/>
        <v>11654</v>
      </c>
    </row>
    <row r="21" spans="1:7" x14ac:dyDescent="0.2">
      <c r="B21" t="s">
        <v>3</v>
      </c>
      <c r="C21">
        <v>146.79900000000001</v>
      </c>
      <c r="D21">
        <f t="shared" si="0"/>
        <v>11744</v>
      </c>
      <c r="E21">
        <f t="shared" si="1"/>
        <v>146.80000000000001</v>
      </c>
      <c r="F21">
        <f t="shared" si="2"/>
        <v>11714</v>
      </c>
      <c r="G21">
        <f t="shared" si="3"/>
        <v>11814</v>
      </c>
    </row>
    <row r="22" spans="1:7" x14ac:dyDescent="0.2">
      <c r="B22" t="s">
        <v>4</v>
      </c>
      <c r="C22">
        <v>148.797</v>
      </c>
      <c r="D22">
        <f t="shared" si="0"/>
        <v>11904</v>
      </c>
      <c r="E22">
        <f t="shared" si="1"/>
        <v>148.80000000000001</v>
      </c>
      <c r="F22">
        <f t="shared" si="2"/>
        <v>11874</v>
      </c>
      <c r="G22">
        <f t="shared" si="3"/>
        <v>11974</v>
      </c>
    </row>
    <row r="23" spans="1:7" x14ac:dyDescent="0.2">
      <c r="B23" t="s">
        <v>5</v>
      </c>
      <c r="C23">
        <v>150.79599999999999</v>
      </c>
      <c r="D23">
        <f t="shared" si="0"/>
        <v>12064</v>
      </c>
      <c r="E23">
        <f t="shared" si="1"/>
        <v>150.80000000000001</v>
      </c>
      <c r="F23">
        <f t="shared" si="2"/>
        <v>12034</v>
      </c>
      <c r="G23">
        <f t="shared" si="3"/>
        <v>12134</v>
      </c>
    </row>
    <row r="24" spans="1:7" x14ac:dyDescent="0.2">
      <c r="B24" t="s">
        <v>6</v>
      </c>
      <c r="C24">
        <v>152.79300000000001</v>
      </c>
      <c r="D24">
        <f t="shared" si="0"/>
        <v>12223</v>
      </c>
      <c r="E24">
        <f t="shared" si="1"/>
        <v>152.78749999999999</v>
      </c>
      <c r="F24">
        <f t="shared" si="2"/>
        <v>12193</v>
      </c>
      <c r="G24">
        <f t="shared" si="3"/>
        <v>12293</v>
      </c>
    </row>
    <row r="25" spans="1:7" x14ac:dyDescent="0.2">
      <c r="B25" t="s">
        <v>7</v>
      </c>
      <c r="C25">
        <v>154.792</v>
      </c>
      <c r="D25">
        <f t="shared" si="0"/>
        <v>12383</v>
      </c>
      <c r="E25">
        <f t="shared" si="1"/>
        <v>154.78749999999999</v>
      </c>
      <c r="F25">
        <f t="shared" si="2"/>
        <v>12353</v>
      </c>
      <c r="G25">
        <f t="shared" si="3"/>
        <v>12453</v>
      </c>
    </row>
    <row r="28" spans="1:7" x14ac:dyDescent="0.2">
      <c r="A28" t="s">
        <v>20</v>
      </c>
    </row>
    <row r="29" spans="1:7" x14ac:dyDescent="0.2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">
        <v>18</v>
      </c>
      <c r="G29" t="s">
        <v>19</v>
      </c>
    </row>
    <row r="31" spans="1:7" x14ac:dyDescent="0.2">
      <c r="B31" t="s">
        <v>0</v>
      </c>
      <c r="C31">
        <v>2.9390000000000001</v>
      </c>
      <c r="D31">
        <f>ROUND(C31*$B$1,0)</f>
        <v>235</v>
      </c>
      <c r="E31">
        <f>D31/$B$1</f>
        <v>2.9375</v>
      </c>
      <c r="F31">
        <f>D31-30</f>
        <v>205</v>
      </c>
      <c r="G31">
        <f>D31+70</f>
        <v>305</v>
      </c>
    </row>
    <row r="32" spans="1:7" x14ac:dyDescent="0.2">
      <c r="B32" t="s">
        <v>1</v>
      </c>
      <c r="C32">
        <v>4.9489999999999998</v>
      </c>
      <c r="D32">
        <f t="shared" ref="D32:D51" si="4">ROUND(C32*$B$1,0)</f>
        <v>396</v>
      </c>
      <c r="E32">
        <f t="shared" ref="E32:E51" si="5">D32/$B$1</f>
        <v>4.95</v>
      </c>
      <c r="F32">
        <f t="shared" ref="F32:F38" si="6">D32-30</f>
        <v>366</v>
      </c>
      <c r="G32">
        <f t="shared" ref="G32:G38" si="7">D32+70</f>
        <v>466</v>
      </c>
    </row>
    <row r="33" spans="1:7" x14ac:dyDescent="0.2">
      <c r="B33" t="s">
        <v>2</v>
      </c>
      <c r="C33">
        <v>6.9370000000000003</v>
      </c>
      <c r="D33">
        <f t="shared" si="4"/>
        <v>555</v>
      </c>
      <c r="E33">
        <f t="shared" si="5"/>
        <v>6.9375</v>
      </c>
      <c r="F33">
        <f t="shared" si="6"/>
        <v>525</v>
      </c>
      <c r="G33">
        <f t="shared" si="7"/>
        <v>625</v>
      </c>
    </row>
    <row r="34" spans="1:7" x14ac:dyDescent="0.2">
      <c r="B34" t="s">
        <v>3</v>
      </c>
      <c r="C34">
        <v>8.9339999999999993</v>
      </c>
      <c r="D34">
        <f t="shared" si="4"/>
        <v>715</v>
      </c>
      <c r="E34">
        <f t="shared" si="5"/>
        <v>8.9375</v>
      </c>
      <c r="F34">
        <f t="shared" si="6"/>
        <v>685</v>
      </c>
      <c r="G34">
        <f t="shared" si="7"/>
        <v>785</v>
      </c>
    </row>
    <row r="35" spans="1:7" x14ac:dyDescent="0.2">
      <c r="B35" t="s">
        <v>4</v>
      </c>
      <c r="C35">
        <v>10.933</v>
      </c>
      <c r="D35">
        <f t="shared" si="4"/>
        <v>875</v>
      </c>
      <c r="E35">
        <f t="shared" si="5"/>
        <v>10.9375</v>
      </c>
      <c r="F35">
        <f t="shared" si="6"/>
        <v>845</v>
      </c>
      <c r="G35">
        <f t="shared" si="7"/>
        <v>945</v>
      </c>
    </row>
    <row r="36" spans="1:7" x14ac:dyDescent="0.2">
      <c r="B36" t="s">
        <v>5</v>
      </c>
      <c r="C36">
        <v>12.932</v>
      </c>
      <c r="D36">
        <f t="shared" si="4"/>
        <v>1035</v>
      </c>
      <c r="E36">
        <f t="shared" si="5"/>
        <v>12.9375</v>
      </c>
      <c r="F36">
        <f t="shared" si="6"/>
        <v>1005</v>
      </c>
      <c r="G36">
        <f t="shared" si="7"/>
        <v>1105</v>
      </c>
    </row>
    <row r="37" spans="1:7" x14ac:dyDescent="0.2">
      <c r="B37" t="s">
        <v>6</v>
      </c>
      <c r="C37">
        <v>14.93</v>
      </c>
      <c r="D37">
        <f t="shared" si="4"/>
        <v>1194</v>
      </c>
      <c r="E37">
        <f t="shared" si="5"/>
        <v>14.925000000000001</v>
      </c>
      <c r="F37">
        <f t="shared" si="6"/>
        <v>1164</v>
      </c>
      <c r="G37">
        <f t="shared" si="7"/>
        <v>1264</v>
      </c>
    </row>
    <row r="38" spans="1:7" x14ac:dyDescent="0.2">
      <c r="B38" t="s">
        <v>7</v>
      </c>
      <c r="C38">
        <v>16.928999999999998</v>
      </c>
      <c r="D38">
        <f t="shared" si="4"/>
        <v>1354</v>
      </c>
      <c r="E38">
        <f t="shared" si="5"/>
        <v>16.925000000000001</v>
      </c>
      <c r="F38">
        <f t="shared" si="6"/>
        <v>1324</v>
      </c>
      <c r="G38">
        <f t="shared" si="7"/>
        <v>1424</v>
      </c>
    </row>
    <row r="40" spans="1:7" x14ac:dyDescent="0.2">
      <c r="A40" t="s">
        <v>15</v>
      </c>
      <c r="B40">
        <v>40</v>
      </c>
      <c r="C40">
        <v>18.939</v>
      </c>
      <c r="D40">
        <f t="shared" si="4"/>
        <v>1515</v>
      </c>
      <c r="E40">
        <f t="shared" si="5"/>
        <v>18.9375</v>
      </c>
      <c r="F40">
        <f t="shared" ref="F40:F41" si="8">D40-30</f>
        <v>1485</v>
      </c>
      <c r="G40">
        <f t="shared" ref="G40:G41" si="9">D40+70</f>
        <v>1585</v>
      </c>
    </row>
    <row r="41" spans="1:7" x14ac:dyDescent="0.2">
      <c r="A41" t="s">
        <v>16</v>
      </c>
      <c r="B41">
        <v>40</v>
      </c>
      <c r="C41">
        <v>138.80500000000001</v>
      </c>
      <c r="D41">
        <f t="shared" si="4"/>
        <v>11104</v>
      </c>
      <c r="E41">
        <f t="shared" si="5"/>
        <v>138.80000000000001</v>
      </c>
      <c r="F41">
        <f t="shared" si="8"/>
        <v>11074</v>
      </c>
      <c r="G41">
        <f t="shared" si="9"/>
        <v>11174</v>
      </c>
    </row>
    <row r="43" spans="1:7" x14ac:dyDescent="0.2">
      <c r="A43" t="s">
        <v>14</v>
      </c>
    </row>
    <row r="44" spans="1:7" x14ac:dyDescent="0.2">
      <c r="B44" t="s">
        <v>0</v>
      </c>
      <c r="C44">
        <v>140.815</v>
      </c>
      <c r="D44">
        <f t="shared" si="4"/>
        <v>11265</v>
      </c>
      <c r="E44">
        <f t="shared" si="5"/>
        <v>140.8125</v>
      </c>
      <c r="F44">
        <f t="shared" ref="F44:F51" si="10">D44-30</f>
        <v>11235</v>
      </c>
      <c r="G44">
        <f t="shared" ref="G44:G51" si="11">D44+70</f>
        <v>11335</v>
      </c>
    </row>
    <row r="45" spans="1:7" x14ac:dyDescent="0.2">
      <c r="B45" t="s">
        <v>1</v>
      </c>
      <c r="C45">
        <v>142.81299999999999</v>
      </c>
      <c r="D45">
        <f t="shared" si="4"/>
        <v>11425</v>
      </c>
      <c r="E45">
        <f t="shared" si="5"/>
        <v>142.8125</v>
      </c>
      <c r="F45">
        <f t="shared" si="10"/>
        <v>11395</v>
      </c>
      <c r="G45">
        <f t="shared" si="11"/>
        <v>11495</v>
      </c>
    </row>
    <row r="46" spans="1:7" x14ac:dyDescent="0.2">
      <c r="B46" t="s">
        <v>2</v>
      </c>
      <c r="C46">
        <v>144.81100000000001</v>
      </c>
      <c r="D46">
        <f t="shared" si="4"/>
        <v>11585</v>
      </c>
      <c r="E46">
        <f t="shared" si="5"/>
        <v>144.8125</v>
      </c>
      <c r="F46">
        <f t="shared" si="10"/>
        <v>11555</v>
      </c>
      <c r="G46">
        <f t="shared" si="11"/>
        <v>11655</v>
      </c>
    </row>
    <row r="47" spans="1:7" x14ac:dyDescent="0.2">
      <c r="B47" t="s">
        <v>3</v>
      </c>
      <c r="C47">
        <v>146.809</v>
      </c>
      <c r="D47">
        <f t="shared" si="4"/>
        <v>11745</v>
      </c>
      <c r="E47">
        <f t="shared" si="5"/>
        <v>146.8125</v>
      </c>
      <c r="F47">
        <f t="shared" si="10"/>
        <v>11715</v>
      </c>
      <c r="G47">
        <f t="shared" si="11"/>
        <v>11815</v>
      </c>
    </row>
    <row r="48" spans="1:7" x14ac:dyDescent="0.2">
      <c r="B48" t="s">
        <v>4</v>
      </c>
      <c r="C48">
        <v>148.80799999999999</v>
      </c>
      <c r="D48">
        <f t="shared" si="4"/>
        <v>11905</v>
      </c>
      <c r="E48">
        <f t="shared" si="5"/>
        <v>148.8125</v>
      </c>
      <c r="F48">
        <f t="shared" si="10"/>
        <v>11875</v>
      </c>
      <c r="G48">
        <f t="shared" si="11"/>
        <v>11975</v>
      </c>
    </row>
    <row r="49" spans="1:7" x14ac:dyDescent="0.2">
      <c r="B49" t="s">
        <v>5</v>
      </c>
      <c r="C49">
        <v>150.80500000000001</v>
      </c>
      <c r="D49">
        <f t="shared" si="4"/>
        <v>12064</v>
      </c>
      <c r="E49">
        <f t="shared" si="5"/>
        <v>150.80000000000001</v>
      </c>
      <c r="F49">
        <f t="shared" si="10"/>
        <v>12034</v>
      </c>
      <c r="G49">
        <f t="shared" si="11"/>
        <v>12134</v>
      </c>
    </row>
    <row r="50" spans="1:7" x14ac:dyDescent="0.2">
      <c r="B50" t="s">
        <v>6</v>
      </c>
      <c r="C50">
        <v>152.803</v>
      </c>
      <c r="D50">
        <f t="shared" si="4"/>
        <v>12224</v>
      </c>
      <c r="E50">
        <f t="shared" si="5"/>
        <v>152.80000000000001</v>
      </c>
      <c r="F50">
        <f t="shared" si="10"/>
        <v>12194</v>
      </c>
      <c r="G50">
        <f t="shared" si="11"/>
        <v>12294</v>
      </c>
    </row>
    <row r="51" spans="1:7" x14ac:dyDescent="0.2">
      <c r="B51" t="s">
        <v>7</v>
      </c>
      <c r="C51">
        <v>154.80199999999999</v>
      </c>
      <c r="D51">
        <f t="shared" si="4"/>
        <v>12384</v>
      </c>
      <c r="E51">
        <f t="shared" si="5"/>
        <v>154.80000000000001</v>
      </c>
      <c r="F51">
        <f t="shared" si="10"/>
        <v>12354</v>
      </c>
      <c r="G51">
        <f t="shared" si="11"/>
        <v>12454</v>
      </c>
    </row>
    <row r="54" spans="1:7" x14ac:dyDescent="0.2">
      <c r="A54" t="s">
        <v>21</v>
      </c>
    </row>
    <row r="55" spans="1:7" x14ac:dyDescent="0.2">
      <c r="A55" t="s">
        <v>9</v>
      </c>
      <c r="B55" t="s">
        <v>10</v>
      </c>
      <c r="C55" t="s">
        <v>11</v>
      </c>
      <c r="D55" t="s">
        <v>12</v>
      </c>
      <c r="E55" t="s">
        <v>13</v>
      </c>
      <c r="F55" t="s">
        <v>18</v>
      </c>
      <c r="G55" t="s">
        <v>19</v>
      </c>
    </row>
    <row r="57" spans="1:7" x14ac:dyDescent="0.2">
      <c r="B57" s="1" t="s">
        <v>22</v>
      </c>
      <c r="C57">
        <v>2.94</v>
      </c>
      <c r="D57">
        <f>ROUND(C57*$B$1,0)</f>
        <v>235</v>
      </c>
      <c r="E57">
        <f>D57/$B$1</f>
        <v>2.9375</v>
      </c>
      <c r="F57">
        <f>D57-30</f>
        <v>205</v>
      </c>
      <c r="G57">
        <f>D57+70</f>
        <v>305</v>
      </c>
    </row>
    <row r="58" spans="1:7" x14ac:dyDescent="0.2">
      <c r="B58" t="s">
        <v>23</v>
      </c>
      <c r="C58">
        <v>4.9390000000000001</v>
      </c>
      <c r="D58">
        <f t="shared" ref="D58:D73" si="12">ROUND(C58*$B$1,0)</f>
        <v>395</v>
      </c>
      <c r="E58">
        <f t="shared" ref="E58:E73" si="13">D58/$B$1</f>
        <v>4.9375</v>
      </c>
      <c r="F58">
        <f t="shared" ref="F58:F62" si="14">D58-30</f>
        <v>365</v>
      </c>
      <c r="G58">
        <f t="shared" ref="G58:G62" si="15">D58+70</f>
        <v>465</v>
      </c>
    </row>
    <row r="59" spans="1:7" x14ac:dyDescent="0.2">
      <c r="B59" t="s">
        <v>24</v>
      </c>
      <c r="C59">
        <v>6.9390000000000001</v>
      </c>
      <c r="D59">
        <f t="shared" si="12"/>
        <v>555</v>
      </c>
      <c r="E59">
        <f t="shared" si="13"/>
        <v>6.9375</v>
      </c>
      <c r="F59">
        <f t="shared" si="14"/>
        <v>525</v>
      </c>
      <c r="G59">
        <f t="shared" si="15"/>
        <v>625</v>
      </c>
    </row>
    <row r="60" spans="1:7" x14ac:dyDescent="0.2">
      <c r="B60" t="s">
        <v>25</v>
      </c>
      <c r="C60">
        <v>8.9380000000000006</v>
      </c>
      <c r="D60">
        <f t="shared" si="12"/>
        <v>715</v>
      </c>
      <c r="E60">
        <f t="shared" si="13"/>
        <v>8.9375</v>
      </c>
      <c r="F60">
        <f t="shared" si="14"/>
        <v>685</v>
      </c>
      <c r="G60">
        <f t="shared" si="15"/>
        <v>785</v>
      </c>
    </row>
    <row r="61" spans="1:7" x14ac:dyDescent="0.2">
      <c r="B61" t="s">
        <v>26</v>
      </c>
      <c r="C61">
        <v>10.936</v>
      </c>
      <c r="D61">
        <f t="shared" si="12"/>
        <v>875</v>
      </c>
      <c r="E61">
        <f t="shared" si="13"/>
        <v>10.9375</v>
      </c>
      <c r="F61">
        <f t="shared" si="14"/>
        <v>845</v>
      </c>
      <c r="G61">
        <f t="shared" si="15"/>
        <v>945</v>
      </c>
    </row>
    <row r="62" spans="1:7" x14ac:dyDescent="0.2">
      <c r="B62" t="s">
        <v>27</v>
      </c>
      <c r="C62">
        <v>12.935</v>
      </c>
      <c r="D62">
        <f t="shared" si="12"/>
        <v>1035</v>
      </c>
      <c r="E62">
        <f t="shared" si="13"/>
        <v>12.9375</v>
      </c>
      <c r="F62">
        <f t="shared" si="14"/>
        <v>1005</v>
      </c>
      <c r="G62">
        <f t="shared" si="15"/>
        <v>1105</v>
      </c>
    </row>
    <row r="64" spans="1:7" x14ac:dyDescent="0.2">
      <c r="A64" t="s">
        <v>15</v>
      </c>
      <c r="B64">
        <v>40</v>
      </c>
      <c r="C64">
        <v>14.933999999999999</v>
      </c>
      <c r="D64">
        <f t="shared" si="12"/>
        <v>1195</v>
      </c>
      <c r="E64">
        <f t="shared" si="13"/>
        <v>14.9375</v>
      </c>
      <c r="F64">
        <f t="shared" ref="F64:F65" si="16">D64-30</f>
        <v>1165</v>
      </c>
      <c r="G64">
        <f t="shared" ref="G64:G65" si="17">D64+70</f>
        <v>1265</v>
      </c>
    </row>
    <row r="65" spans="1:7" x14ac:dyDescent="0.2">
      <c r="A65" t="s">
        <v>16</v>
      </c>
      <c r="B65">
        <v>40</v>
      </c>
      <c r="C65">
        <v>134.80699999999999</v>
      </c>
      <c r="D65">
        <f t="shared" si="12"/>
        <v>10785</v>
      </c>
      <c r="E65">
        <f t="shared" si="13"/>
        <v>134.8125</v>
      </c>
      <c r="F65">
        <f t="shared" si="16"/>
        <v>10755</v>
      </c>
      <c r="G65">
        <f t="shared" si="17"/>
        <v>10855</v>
      </c>
    </row>
    <row r="67" spans="1:7" x14ac:dyDescent="0.2">
      <c r="A67" t="s">
        <v>14</v>
      </c>
    </row>
    <row r="68" spans="1:7" x14ac:dyDescent="0.2">
      <c r="B68" s="1" t="s">
        <v>22</v>
      </c>
      <c r="C68">
        <v>136.80500000000001</v>
      </c>
      <c r="D68">
        <f t="shared" si="12"/>
        <v>10944</v>
      </c>
      <c r="E68">
        <f t="shared" si="13"/>
        <v>136.80000000000001</v>
      </c>
      <c r="F68">
        <f t="shared" ref="F68:F73" si="18">D68-30</f>
        <v>10914</v>
      </c>
      <c r="G68">
        <f t="shared" ref="G68:G73" si="19">D68+70</f>
        <v>11014</v>
      </c>
    </row>
    <row r="69" spans="1:7" x14ac:dyDescent="0.2">
      <c r="B69" t="s">
        <v>23</v>
      </c>
      <c r="C69">
        <v>138.804</v>
      </c>
      <c r="D69">
        <f t="shared" si="12"/>
        <v>11104</v>
      </c>
      <c r="E69">
        <f t="shared" si="13"/>
        <v>138.80000000000001</v>
      </c>
      <c r="F69">
        <f t="shared" si="18"/>
        <v>11074</v>
      </c>
      <c r="G69">
        <f t="shared" si="19"/>
        <v>11174</v>
      </c>
    </row>
    <row r="70" spans="1:7" x14ac:dyDescent="0.2">
      <c r="B70" t="s">
        <v>24</v>
      </c>
      <c r="C70">
        <v>140.80199999999999</v>
      </c>
      <c r="D70">
        <f t="shared" si="12"/>
        <v>11264</v>
      </c>
      <c r="E70">
        <f t="shared" si="13"/>
        <v>140.80000000000001</v>
      </c>
      <c r="F70">
        <f t="shared" si="18"/>
        <v>11234</v>
      </c>
      <c r="G70">
        <f t="shared" si="19"/>
        <v>11334</v>
      </c>
    </row>
    <row r="71" spans="1:7" x14ac:dyDescent="0.2">
      <c r="B71" t="s">
        <v>25</v>
      </c>
      <c r="C71">
        <v>142.80099999999999</v>
      </c>
      <c r="D71">
        <f t="shared" si="12"/>
        <v>11424</v>
      </c>
      <c r="E71">
        <f t="shared" si="13"/>
        <v>142.80000000000001</v>
      </c>
      <c r="F71">
        <f t="shared" si="18"/>
        <v>11394</v>
      </c>
      <c r="G71">
        <f t="shared" si="19"/>
        <v>11494</v>
      </c>
    </row>
    <row r="72" spans="1:7" x14ac:dyDescent="0.2">
      <c r="B72" t="s">
        <v>26</v>
      </c>
      <c r="C72">
        <v>144.80000000000001</v>
      </c>
      <c r="D72">
        <f t="shared" si="12"/>
        <v>11584</v>
      </c>
      <c r="E72">
        <f t="shared" si="13"/>
        <v>144.80000000000001</v>
      </c>
      <c r="F72">
        <f t="shared" si="18"/>
        <v>11554</v>
      </c>
      <c r="G72">
        <f t="shared" si="19"/>
        <v>11654</v>
      </c>
    </row>
    <row r="73" spans="1:7" x14ac:dyDescent="0.2">
      <c r="B73" t="s">
        <v>27</v>
      </c>
      <c r="C73">
        <v>146.79900000000001</v>
      </c>
      <c r="D73">
        <f t="shared" si="12"/>
        <v>11744</v>
      </c>
      <c r="E73">
        <f t="shared" si="13"/>
        <v>146.80000000000001</v>
      </c>
      <c r="F73">
        <f t="shared" si="18"/>
        <v>11714</v>
      </c>
      <c r="G73">
        <f t="shared" si="19"/>
        <v>11814</v>
      </c>
    </row>
    <row r="76" spans="1:7" x14ac:dyDescent="0.2">
      <c r="A76" t="s">
        <v>28</v>
      </c>
    </row>
    <row r="77" spans="1:7" x14ac:dyDescent="0.2">
      <c r="A77" t="s">
        <v>9</v>
      </c>
      <c r="B77" t="s">
        <v>10</v>
      </c>
      <c r="C77" t="s">
        <v>11</v>
      </c>
      <c r="D77" t="s">
        <v>12</v>
      </c>
      <c r="E77" t="s">
        <v>13</v>
      </c>
      <c r="F77" t="s">
        <v>18</v>
      </c>
      <c r="G77" t="s">
        <v>19</v>
      </c>
    </row>
    <row r="79" spans="1:7" x14ac:dyDescent="0.2">
      <c r="B79" s="1" t="s">
        <v>22</v>
      </c>
      <c r="C79">
        <v>2.9169999999999998</v>
      </c>
      <c r="D79">
        <f>ROUND(C79*$B$1,0)</f>
        <v>233</v>
      </c>
      <c r="E79">
        <f>D79/$B$1</f>
        <v>2.9125000000000001</v>
      </c>
      <c r="F79">
        <f>D79-30</f>
        <v>203</v>
      </c>
      <c r="G79">
        <f>D79+70</f>
        <v>303</v>
      </c>
    </row>
    <row r="80" spans="1:7" x14ac:dyDescent="0.2">
      <c r="B80" t="s">
        <v>23</v>
      </c>
      <c r="C80">
        <v>4.9169999999999998</v>
      </c>
      <c r="D80">
        <f t="shared" ref="D80:D95" si="20">ROUND(C80*$B$1,0)</f>
        <v>393</v>
      </c>
      <c r="E80">
        <f t="shared" ref="E80:E95" si="21">D80/$B$1</f>
        <v>4.9124999999999996</v>
      </c>
      <c r="F80">
        <f t="shared" ref="F80:F84" si="22">D80-30</f>
        <v>363</v>
      </c>
      <c r="G80">
        <f t="shared" ref="G80:G84" si="23">D80+70</f>
        <v>463</v>
      </c>
    </row>
    <row r="81" spans="1:7" x14ac:dyDescent="0.2">
      <c r="B81" t="s">
        <v>24</v>
      </c>
      <c r="C81">
        <v>6.9160000000000004</v>
      </c>
      <c r="D81">
        <f t="shared" si="20"/>
        <v>553</v>
      </c>
      <c r="E81">
        <f t="shared" si="21"/>
        <v>6.9124999999999996</v>
      </c>
      <c r="F81">
        <f t="shared" si="22"/>
        <v>523</v>
      </c>
      <c r="G81">
        <f t="shared" si="23"/>
        <v>623</v>
      </c>
    </row>
    <row r="82" spans="1:7" x14ac:dyDescent="0.2">
      <c r="B82" t="s">
        <v>25</v>
      </c>
      <c r="C82">
        <v>8.9149999999999991</v>
      </c>
      <c r="D82">
        <f t="shared" si="20"/>
        <v>713</v>
      </c>
      <c r="E82">
        <f t="shared" si="21"/>
        <v>8.9124999999999996</v>
      </c>
      <c r="F82">
        <f t="shared" si="22"/>
        <v>683</v>
      </c>
      <c r="G82">
        <f t="shared" si="23"/>
        <v>783</v>
      </c>
    </row>
    <row r="83" spans="1:7" x14ac:dyDescent="0.2">
      <c r="B83" t="s">
        <v>26</v>
      </c>
      <c r="C83">
        <v>10.913</v>
      </c>
      <c r="D83">
        <f t="shared" si="20"/>
        <v>873</v>
      </c>
      <c r="E83">
        <f t="shared" si="21"/>
        <v>10.9125</v>
      </c>
      <c r="F83">
        <f t="shared" si="22"/>
        <v>843</v>
      </c>
      <c r="G83">
        <f t="shared" si="23"/>
        <v>943</v>
      </c>
    </row>
    <row r="84" spans="1:7" x14ac:dyDescent="0.2">
      <c r="B84" t="s">
        <v>27</v>
      </c>
      <c r="C84">
        <v>12.912000000000001</v>
      </c>
      <c r="D84">
        <f t="shared" si="20"/>
        <v>1033</v>
      </c>
      <c r="E84">
        <f t="shared" si="21"/>
        <v>12.9125</v>
      </c>
      <c r="F84">
        <f t="shared" si="22"/>
        <v>1003</v>
      </c>
      <c r="G84">
        <f t="shared" si="23"/>
        <v>1103</v>
      </c>
    </row>
    <row r="86" spans="1:7" x14ac:dyDescent="0.2">
      <c r="A86" t="s">
        <v>15</v>
      </c>
      <c r="B86">
        <v>40</v>
      </c>
      <c r="C86">
        <v>14.911</v>
      </c>
      <c r="D86">
        <f t="shared" si="20"/>
        <v>1193</v>
      </c>
      <c r="E86">
        <f t="shared" si="21"/>
        <v>14.9125</v>
      </c>
      <c r="F86">
        <f t="shared" ref="F86:F87" si="24">D86-30</f>
        <v>1163</v>
      </c>
      <c r="G86">
        <f t="shared" ref="G86:G87" si="25">D86+70</f>
        <v>1263</v>
      </c>
    </row>
    <row r="87" spans="1:7" x14ac:dyDescent="0.2">
      <c r="A87" t="s">
        <v>16</v>
      </c>
      <c r="B87">
        <v>40</v>
      </c>
      <c r="C87">
        <v>134.79</v>
      </c>
      <c r="D87">
        <f t="shared" si="20"/>
        <v>10783</v>
      </c>
      <c r="E87">
        <f t="shared" si="21"/>
        <v>134.78749999999999</v>
      </c>
      <c r="F87">
        <f t="shared" si="24"/>
        <v>10753</v>
      </c>
      <c r="G87">
        <f t="shared" si="25"/>
        <v>10853</v>
      </c>
    </row>
    <row r="89" spans="1:7" x14ac:dyDescent="0.2">
      <c r="A89" t="s">
        <v>14</v>
      </c>
    </row>
    <row r="90" spans="1:7" x14ac:dyDescent="0.2">
      <c r="B90" s="1" t="s">
        <v>22</v>
      </c>
      <c r="C90">
        <v>136.78899999999999</v>
      </c>
      <c r="D90">
        <f t="shared" si="20"/>
        <v>10943</v>
      </c>
      <c r="E90">
        <f t="shared" si="21"/>
        <v>136.78749999999999</v>
      </c>
      <c r="F90">
        <f t="shared" ref="F90:F95" si="26">D90-30</f>
        <v>10913</v>
      </c>
      <c r="G90">
        <f t="shared" ref="G90:G95" si="27">D90+70</f>
        <v>11013</v>
      </c>
    </row>
    <row r="91" spans="1:7" x14ac:dyDescent="0.2">
      <c r="B91" t="s">
        <v>23</v>
      </c>
      <c r="C91">
        <v>138.78700000000001</v>
      </c>
      <c r="D91">
        <f t="shared" si="20"/>
        <v>11103</v>
      </c>
      <c r="E91">
        <f t="shared" si="21"/>
        <v>138.78749999999999</v>
      </c>
      <c r="F91">
        <f t="shared" si="26"/>
        <v>11073</v>
      </c>
      <c r="G91">
        <f t="shared" si="27"/>
        <v>11173</v>
      </c>
    </row>
    <row r="92" spans="1:7" x14ac:dyDescent="0.2">
      <c r="B92" t="s">
        <v>24</v>
      </c>
      <c r="C92">
        <v>140.786</v>
      </c>
      <c r="D92">
        <f t="shared" si="20"/>
        <v>11263</v>
      </c>
      <c r="E92">
        <f t="shared" si="21"/>
        <v>140.78749999999999</v>
      </c>
      <c r="F92">
        <f t="shared" si="26"/>
        <v>11233</v>
      </c>
      <c r="G92">
        <f t="shared" si="27"/>
        <v>11333</v>
      </c>
    </row>
    <row r="93" spans="1:7" x14ac:dyDescent="0.2">
      <c r="B93" t="s">
        <v>25</v>
      </c>
      <c r="C93">
        <v>142.785</v>
      </c>
      <c r="D93">
        <f t="shared" si="20"/>
        <v>11423</v>
      </c>
      <c r="E93">
        <f t="shared" si="21"/>
        <v>142.78749999999999</v>
      </c>
      <c r="F93">
        <f t="shared" si="26"/>
        <v>11393</v>
      </c>
      <c r="G93">
        <f t="shared" si="27"/>
        <v>11493</v>
      </c>
    </row>
    <row r="94" spans="1:7" x14ac:dyDescent="0.2">
      <c r="B94" t="s">
        <v>26</v>
      </c>
      <c r="C94">
        <v>144.78399999999999</v>
      </c>
      <c r="D94">
        <f t="shared" si="20"/>
        <v>11583</v>
      </c>
      <c r="E94">
        <f t="shared" si="21"/>
        <v>144.78749999999999</v>
      </c>
      <c r="F94">
        <f t="shared" si="26"/>
        <v>11553</v>
      </c>
      <c r="G94">
        <f t="shared" si="27"/>
        <v>11653</v>
      </c>
    </row>
    <row r="95" spans="1:7" x14ac:dyDescent="0.2">
      <c r="B95" t="s">
        <v>27</v>
      </c>
      <c r="C95">
        <v>146.79400000000001</v>
      </c>
      <c r="D95">
        <f t="shared" si="20"/>
        <v>11744</v>
      </c>
      <c r="E95">
        <f t="shared" si="21"/>
        <v>146.80000000000001</v>
      </c>
      <c r="F95">
        <f t="shared" si="26"/>
        <v>11714</v>
      </c>
      <c r="G95">
        <f t="shared" si="27"/>
        <v>11814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Richardson</dc:creator>
  <cp:lastModifiedBy>Luke Richardson</cp:lastModifiedBy>
  <dcterms:created xsi:type="dcterms:W3CDTF">2026-01-24T12:17:51Z</dcterms:created>
  <dcterms:modified xsi:type="dcterms:W3CDTF">2026-01-27T09:18:44Z</dcterms:modified>
</cp:coreProperties>
</file>